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windowWidth="17665" windowHeight="8434"/>
  </bookViews>
  <sheets>
    <sheet name="sheet" sheetId="1" r:id="rId1"/>
    <sheet name="字典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必填项</t>
        </r>
      </text>
    </comment>
    <comment ref="B1" authorId="0">
      <text>
        <r>
          <rPr>
            <sz val="10"/>
            <rFont val="宋体"/>
            <charset val="134"/>
          </rPr>
          <t>必填项</t>
        </r>
      </text>
    </comment>
    <comment ref="C1" authorId="0">
      <text>
        <r>
          <rPr>
            <sz val="10"/>
            <rFont val="宋体"/>
            <charset val="134"/>
          </rPr>
          <t>必填项</t>
        </r>
      </text>
    </comment>
    <comment ref="D1" authorId="0">
      <text>
        <r>
          <rPr>
            <sz val="10"/>
            <rFont val="宋体"/>
            <charset val="134"/>
          </rPr>
          <t>必填项
类型(数字)</t>
        </r>
      </text>
    </comment>
    <comment ref="E1" authorId="0">
      <text>
        <r>
          <rPr>
            <sz val="10"/>
            <rFont val="宋体"/>
            <charset val="134"/>
          </rPr>
          <t>必填项
类型(数字)</t>
        </r>
      </text>
    </comment>
    <comment ref="F1" authorId="0">
      <text>
        <r>
          <rPr>
            <sz val="10"/>
            <rFont val="宋体"/>
            <charset val="134"/>
          </rPr>
          <t>必填项
类型(数字)</t>
        </r>
      </text>
    </comment>
    <comment ref="G1" authorId="0">
      <text>
        <r>
          <rPr>
            <sz val="10"/>
            <rFont val="宋体"/>
            <charset val="134"/>
          </rPr>
          <t>必填项
类型(数字)</t>
        </r>
      </text>
    </comment>
    <comment ref="H1" authorId="0">
      <text>
        <r>
          <rPr>
            <sz val="10"/>
            <rFont val="宋体"/>
            <charset val="134"/>
          </rPr>
          <t>必填项
类型(数字)</t>
        </r>
      </text>
    </comment>
    <comment ref="I1" authorId="0">
      <text>
        <r>
          <rPr>
            <sz val="10"/>
            <rFont val="宋体"/>
            <charset val="134"/>
          </rPr>
          <t>必填项
类型(数字)</t>
        </r>
      </text>
    </comment>
  </commentList>
</comments>
</file>

<file path=xl/sharedStrings.xml><?xml version="1.0" encoding="utf-8"?>
<sst xmlns="http://schemas.openxmlformats.org/spreadsheetml/2006/main" count="69" uniqueCount="44">
  <si>
    <t>学号</t>
  </si>
  <si>
    <t>姓名</t>
  </si>
  <si>
    <t>测评学年</t>
  </si>
  <si>
    <t>综测成绩</t>
  </si>
  <si>
    <t>综测成绩专业排名</t>
  </si>
  <si>
    <t>智育成绩</t>
  </si>
  <si>
    <t>智育成绩专业排名</t>
  </si>
  <si>
    <t>德育成绩</t>
  </si>
  <si>
    <t>专业人数</t>
  </si>
  <si>
    <t>孙承泽</t>
  </si>
  <si>
    <t>2025-2026</t>
  </si>
  <si>
    <t>阮景昊</t>
  </si>
  <si>
    <t>刘家琛</t>
  </si>
  <si>
    <t>陈鹏安</t>
  </si>
  <si>
    <t>赵妍</t>
  </si>
  <si>
    <t>龙宇哲</t>
  </si>
  <si>
    <t>王金栋</t>
  </si>
  <si>
    <t>邹东成</t>
  </si>
  <si>
    <t>崔宇翔</t>
  </si>
  <si>
    <t>陈唯楚</t>
  </si>
  <si>
    <t>胡峻豪</t>
  </si>
  <si>
    <t>张洛豪</t>
  </si>
  <si>
    <t>孔堂镔</t>
  </si>
  <si>
    <t>史秦瑶</t>
  </si>
  <si>
    <t>温妤菡</t>
  </si>
  <si>
    <t>石城玮</t>
  </si>
  <si>
    <t>何天宇</t>
  </si>
  <si>
    <t>翟昱铖</t>
  </si>
  <si>
    <t>杨浩然</t>
  </si>
  <si>
    <t>李宇涵</t>
  </si>
  <si>
    <t>阙宇洲</t>
  </si>
  <si>
    <t>张子贤</t>
  </si>
  <si>
    <t>李振洋</t>
  </si>
  <si>
    <t>汤原</t>
  </si>
  <si>
    <t>丁豪杰</t>
  </si>
  <si>
    <t>2026-2027学年</t>
  </si>
  <si>
    <t>2025-2026学年</t>
  </si>
  <si>
    <t>2024-2025学年</t>
  </si>
  <si>
    <t>2023-2024学年</t>
  </si>
  <si>
    <t>2022-2023学年</t>
  </si>
  <si>
    <t>2021-2022学年</t>
  </si>
  <si>
    <t>2020-2021学年</t>
  </si>
  <si>
    <t>2019-2020学年</t>
  </si>
  <si>
    <t>2018-2019学年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</si>
</sst>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_ "/>
  </numFmts>
  <fonts count="24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49" fontId="0" fillId="0" borderId="0" xfId="0" applyNumberFormat="1" applyFont="1" applyAlignment="1"/>
    <xf numFmtId="176" fontId="0" fillId="0" borderId="0" xfId="0" applyNumberFormat="1" applyFont="1" applyAlignment="1"/>
    <xf numFmtId="177" fontId="0" fillId="0" borderId="0" xfId="0" applyNumberFormat="1" applyFont="1" applyAlignment="1"/>
    <xf numFmtId="0" fontId="1" fillId="2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76" fontId="0" fillId="0" borderId="1" xfId="0" applyNumberFormat="1" applyFont="1" applyBorder="1" applyAlignment="1"/>
    <xf numFmtId="177" fontId="0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B10" sqref="B10"/>
    </sheetView>
  </sheetViews>
  <sheetFormatPr defaultColWidth="9" defaultRowHeight="14.1"/>
  <cols>
    <col min="1" max="3" width="20" style="2" customWidth="1"/>
    <col min="4" max="4" width="20" style="3" customWidth="1"/>
    <col min="5" max="5" width="20" style="4" customWidth="1"/>
    <col min="6" max="6" width="20" style="3" customWidth="1"/>
    <col min="7" max="7" width="20" style="4" customWidth="1"/>
    <col min="8" max="8" width="20" style="3" customWidth="1"/>
    <col min="9" max="9" width="20" style="4" customWidth="1"/>
  </cols>
  <sheetData>
    <row r="1" ht="14.55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>
        <v>2253710052</v>
      </c>
      <c r="B2" s="6" t="s">
        <v>9</v>
      </c>
      <c r="C2" s="6" t="s">
        <v>10</v>
      </c>
      <c r="D2" s="7">
        <f>F2*0.8+H2*0.2</f>
        <v>88.872</v>
      </c>
      <c r="E2" s="8">
        <v>1</v>
      </c>
      <c r="F2" s="9">
        <v>88.84</v>
      </c>
      <c r="G2" s="8">
        <f>_xlfn.RANK.EQ(F2,$E$2:$F$25,0)</f>
        <v>1</v>
      </c>
      <c r="H2" s="10">
        <v>89</v>
      </c>
      <c r="I2" s="8">
        <v>25</v>
      </c>
    </row>
    <row r="3" spans="1:9">
      <c r="A3" s="6">
        <v>2254210303</v>
      </c>
      <c r="B3" s="6" t="s">
        <v>11</v>
      </c>
      <c r="C3" s="6" t="s">
        <v>10</v>
      </c>
      <c r="D3" s="7">
        <f t="shared" ref="D3:D26" si="0">F3*0.8+H3*0.2</f>
        <v>87.254</v>
      </c>
      <c r="E3" s="8">
        <v>2</v>
      </c>
      <c r="F3" s="9">
        <v>88.7</v>
      </c>
      <c r="G3" s="8">
        <f t="shared" ref="G3:G26" si="1">_xlfn.RANK.EQ(F3,$E$2:$F$25,0)</f>
        <v>2</v>
      </c>
      <c r="H3" s="10">
        <v>81.47</v>
      </c>
      <c r="I3" s="8">
        <v>25</v>
      </c>
    </row>
    <row r="4" spans="1:9">
      <c r="A4" s="6">
        <v>2256110360</v>
      </c>
      <c r="B4" s="6" t="s">
        <v>12</v>
      </c>
      <c r="C4" s="6" t="s">
        <v>10</v>
      </c>
      <c r="D4" s="7">
        <f t="shared" si="0"/>
        <v>86.52</v>
      </c>
      <c r="E4" s="8">
        <v>3</v>
      </c>
      <c r="F4" s="9">
        <v>87.84</v>
      </c>
      <c r="G4" s="8">
        <f t="shared" si="1"/>
        <v>3</v>
      </c>
      <c r="H4" s="10">
        <v>81.24</v>
      </c>
      <c r="I4" s="8">
        <v>25</v>
      </c>
    </row>
    <row r="5" spans="1:9">
      <c r="A5" s="6">
        <v>2253710045</v>
      </c>
      <c r="B5" s="6" t="s">
        <v>13</v>
      </c>
      <c r="C5" s="6" t="s">
        <v>10</v>
      </c>
      <c r="D5" s="7">
        <f t="shared" si="0"/>
        <v>86.184</v>
      </c>
      <c r="E5" s="8">
        <v>4</v>
      </c>
      <c r="F5" s="9">
        <v>86.73</v>
      </c>
      <c r="G5" s="8">
        <f t="shared" si="1"/>
        <v>5</v>
      </c>
      <c r="H5" s="10">
        <v>84</v>
      </c>
      <c r="I5" s="8">
        <v>25</v>
      </c>
    </row>
    <row r="6" spans="1:9">
      <c r="A6" s="6">
        <v>2256120358</v>
      </c>
      <c r="B6" s="6" t="s">
        <v>14</v>
      </c>
      <c r="C6" s="6" t="s">
        <v>10</v>
      </c>
      <c r="D6" s="7">
        <f t="shared" si="0"/>
        <v>85.506</v>
      </c>
      <c r="E6" s="8">
        <v>5</v>
      </c>
      <c r="F6" s="9">
        <v>87.2</v>
      </c>
      <c r="G6" s="8">
        <f t="shared" si="1"/>
        <v>4</v>
      </c>
      <c r="H6" s="10">
        <v>78.73</v>
      </c>
      <c r="I6" s="8">
        <v>25</v>
      </c>
    </row>
    <row r="7" spans="1:9">
      <c r="A7" s="6">
        <v>2254310205</v>
      </c>
      <c r="B7" s="6" t="s">
        <v>15</v>
      </c>
      <c r="C7" s="6" t="s">
        <v>10</v>
      </c>
      <c r="D7" s="7">
        <f t="shared" si="0"/>
        <v>85.394</v>
      </c>
      <c r="E7" s="8">
        <v>6</v>
      </c>
      <c r="F7" s="9">
        <v>86.57</v>
      </c>
      <c r="G7" s="8">
        <f t="shared" si="1"/>
        <v>6</v>
      </c>
      <c r="H7" s="10">
        <v>80.69</v>
      </c>
      <c r="I7" s="8">
        <v>25</v>
      </c>
    </row>
    <row r="8" spans="1:9">
      <c r="A8" s="6">
        <v>2254110238</v>
      </c>
      <c r="B8" s="6" t="s">
        <v>16</v>
      </c>
      <c r="C8" s="6" t="s">
        <v>10</v>
      </c>
      <c r="D8" s="7">
        <f t="shared" si="0"/>
        <v>84.824</v>
      </c>
      <c r="E8" s="8">
        <v>7</v>
      </c>
      <c r="F8" s="9">
        <v>85.53</v>
      </c>
      <c r="G8" s="8">
        <f t="shared" si="1"/>
        <v>8</v>
      </c>
      <c r="H8" s="10">
        <v>82</v>
      </c>
      <c r="I8" s="8">
        <v>25</v>
      </c>
    </row>
    <row r="9" spans="1:9">
      <c r="A9" s="6">
        <v>2255215584</v>
      </c>
      <c r="B9" s="6" t="s">
        <v>17</v>
      </c>
      <c r="C9" s="6" t="s">
        <v>10</v>
      </c>
      <c r="D9" s="7">
        <f t="shared" si="0"/>
        <v>84.55</v>
      </c>
      <c r="E9" s="8">
        <v>8</v>
      </c>
      <c r="F9" s="9">
        <v>86.25</v>
      </c>
      <c r="G9" s="8">
        <f t="shared" si="1"/>
        <v>7</v>
      </c>
      <c r="H9" s="10">
        <v>77.75</v>
      </c>
      <c r="I9" s="8">
        <v>25</v>
      </c>
    </row>
    <row r="10" spans="1:9">
      <c r="A10" s="6">
        <v>2254110245</v>
      </c>
      <c r="B10" s="6" t="s">
        <v>18</v>
      </c>
      <c r="C10" s="6" t="s">
        <v>10</v>
      </c>
      <c r="D10" s="7">
        <f t="shared" si="0"/>
        <v>84.53</v>
      </c>
      <c r="E10" s="8">
        <v>9</v>
      </c>
      <c r="F10" s="9">
        <v>84.85</v>
      </c>
      <c r="G10" s="8">
        <f t="shared" si="1"/>
        <v>11</v>
      </c>
      <c r="H10" s="10">
        <v>83.25</v>
      </c>
      <c r="I10" s="8">
        <v>25</v>
      </c>
    </row>
    <row r="11" spans="1:9">
      <c r="A11" s="6">
        <v>2254310207</v>
      </c>
      <c r="B11" s="6" t="s">
        <v>19</v>
      </c>
      <c r="C11" s="6" t="s">
        <v>10</v>
      </c>
      <c r="D11" s="7">
        <f t="shared" si="0"/>
        <v>84.064</v>
      </c>
      <c r="E11" s="8">
        <v>10</v>
      </c>
      <c r="F11" s="9">
        <v>85.51</v>
      </c>
      <c r="G11" s="8">
        <f t="shared" si="1"/>
        <v>9</v>
      </c>
      <c r="H11" s="10">
        <v>78.28</v>
      </c>
      <c r="I11" s="8">
        <v>25</v>
      </c>
    </row>
    <row r="12" spans="1:9">
      <c r="A12" s="6">
        <v>2254410105</v>
      </c>
      <c r="B12" s="6" t="s">
        <v>20</v>
      </c>
      <c r="C12" s="6" t="s">
        <v>10</v>
      </c>
      <c r="D12" s="7">
        <f t="shared" si="0"/>
        <v>82.556</v>
      </c>
      <c r="E12" s="8">
        <v>11</v>
      </c>
      <c r="F12" s="9">
        <v>84.92</v>
      </c>
      <c r="G12" s="8">
        <f t="shared" si="1"/>
        <v>10</v>
      </c>
      <c r="H12" s="10">
        <v>73.1</v>
      </c>
      <c r="I12" s="8">
        <v>25</v>
      </c>
    </row>
    <row r="13" spans="1:9">
      <c r="A13" s="6">
        <v>2253310182</v>
      </c>
      <c r="B13" s="6" t="s">
        <v>21</v>
      </c>
      <c r="C13" s="6" t="s">
        <v>10</v>
      </c>
      <c r="D13" s="7">
        <f t="shared" si="0"/>
        <v>82.284</v>
      </c>
      <c r="E13" s="8">
        <v>12</v>
      </c>
      <c r="F13" s="9">
        <v>82.98</v>
      </c>
      <c r="G13" s="8">
        <f t="shared" si="1"/>
        <v>12</v>
      </c>
      <c r="H13" s="10">
        <v>79.5</v>
      </c>
      <c r="I13" s="8">
        <v>25</v>
      </c>
    </row>
    <row r="14" spans="1:9">
      <c r="A14" s="6">
        <v>2252310290</v>
      </c>
      <c r="B14" s="6" t="s">
        <v>22</v>
      </c>
      <c r="C14" s="6" t="s">
        <v>10</v>
      </c>
      <c r="D14" s="7">
        <f t="shared" si="0"/>
        <v>81.95</v>
      </c>
      <c r="E14" s="8">
        <v>13</v>
      </c>
      <c r="F14" s="9">
        <v>82.04</v>
      </c>
      <c r="G14" s="8">
        <f t="shared" si="1"/>
        <v>14</v>
      </c>
      <c r="H14" s="10">
        <v>81.59</v>
      </c>
      <c r="I14" s="8">
        <v>25</v>
      </c>
    </row>
    <row r="15" spans="1:9">
      <c r="A15" s="6">
        <v>2252320288</v>
      </c>
      <c r="B15" s="6" t="s">
        <v>23</v>
      </c>
      <c r="C15" s="6" t="s">
        <v>10</v>
      </c>
      <c r="D15" s="7">
        <f t="shared" si="0"/>
        <v>81.916</v>
      </c>
      <c r="E15" s="8">
        <v>14</v>
      </c>
      <c r="F15" s="9">
        <v>81.27</v>
      </c>
      <c r="G15" s="8">
        <f t="shared" si="1"/>
        <v>17</v>
      </c>
      <c r="H15" s="10">
        <v>84.5</v>
      </c>
      <c r="I15" s="8">
        <v>25</v>
      </c>
    </row>
    <row r="16" spans="1:9">
      <c r="A16" s="6">
        <v>2254220304</v>
      </c>
      <c r="B16" s="6" t="s">
        <v>24</v>
      </c>
      <c r="C16" s="6" t="s">
        <v>10</v>
      </c>
      <c r="D16" s="7">
        <f t="shared" si="0"/>
        <v>81.608</v>
      </c>
      <c r="E16" s="8">
        <v>15</v>
      </c>
      <c r="F16" s="9">
        <v>82.51</v>
      </c>
      <c r="G16" s="8">
        <f t="shared" si="1"/>
        <v>13</v>
      </c>
      <c r="H16" s="10">
        <v>78</v>
      </c>
      <c r="I16" s="8">
        <v>25</v>
      </c>
    </row>
    <row r="17" spans="1:9">
      <c r="A17" s="6">
        <v>2251310019</v>
      </c>
      <c r="B17" s="6" t="s">
        <v>25</v>
      </c>
      <c r="C17" s="6" t="s">
        <v>10</v>
      </c>
      <c r="D17" s="7">
        <f t="shared" si="0"/>
        <v>81.172</v>
      </c>
      <c r="E17" s="8">
        <v>16</v>
      </c>
      <c r="F17" s="9">
        <v>81.59</v>
      </c>
      <c r="G17" s="8">
        <f t="shared" si="1"/>
        <v>15</v>
      </c>
      <c r="H17" s="10">
        <v>79.5</v>
      </c>
      <c r="I17" s="8">
        <v>25</v>
      </c>
    </row>
    <row r="18" spans="1:9">
      <c r="A18" s="6">
        <v>2255215585</v>
      </c>
      <c r="B18" s="6" t="s">
        <v>26</v>
      </c>
      <c r="C18" s="6" t="s">
        <v>10</v>
      </c>
      <c r="D18" s="7">
        <f t="shared" si="0"/>
        <v>80.478</v>
      </c>
      <c r="E18" s="8">
        <v>17</v>
      </c>
      <c r="F18" s="9">
        <v>81.41</v>
      </c>
      <c r="G18" s="8">
        <f t="shared" si="1"/>
        <v>16</v>
      </c>
      <c r="H18" s="10">
        <v>76.75</v>
      </c>
      <c r="I18" s="8">
        <v>25</v>
      </c>
    </row>
    <row r="19" spans="1:9">
      <c r="A19" s="6">
        <v>2251310022</v>
      </c>
      <c r="B19" s="6" t="s">
        <v>27</v>
      </c>
      <c r="C19" s="6" t="s">
        <v>10</v>
      </c>
      <c r="D19" s="7">
        <f t="shared" si="0"/>
        <v>80.296</v>
      </c>
      <c r="E19" s="8">
        <v>18</v>
      </c>
      <c r="F19" s="9">
        <v>81.2</v>
      </c>
      <c r="G19" s="8">
        <f t="shared" si="1"/>
        <v>18</v>
      </c>
      <c r="H19" s="10">
        <v>76.68</v>
      </c>
      <c r="I19" s="8">
        <v>25</v>
      </c>
    </row>
    <row r="20" spans="1:9">
      <c r="A20" s="6">
        <v>2251510042</v>
      </c>
      <c r="B20" s="6" t="s">
        <v>28</v>
      </c>
      <c r="C20" s="6" t="s">
        <v>10</v>
      </c>
      <c r="D20" s="7">
        <f t="shared" si="0"/>
        <v>79.82</v>
      </c>
      <c r="E20" s="8">
        <v>19</v>
      </c>
      <c r="F20" s="9">
        <v>80.4</v>
      </c>
      <c r="G20" s="8">
        <f t="shared" si="1"/>
        <v>19</v>
      </c>
      <c r="H20" s="10">
        <v>77.5</v>
      </c>
      <c r="I20" s="8">
        <v>25</v>
      </c>
    </row>
    <row r="21" spans="1:9">
      <c r="A21" s="6">
        <v>2254510235</v>
      </c>
      <c r="B21" s="6" t="s">
        <v>29</v>
      </c>
      <c r="C21" s="6" t="s">
        <v>10</v>
      </c>
      <c r="D21" s="7">
        <f t="shared" si="0"/>
        <v>78.272</v>
      </c>
      <c r="E21" s="8">
        <v>20</v>
      </c>
      <c r="F21" s="9">
        <v>79.09</v>
      </c>
      <c r="G21" s="8">
        <f t="shared" si="1"/>
        <v>20</v>
      </c>
      <c r="H21" s="10">
        <v>75</v>
      </c>
      <c r="I21" s="8">
        <v>25</v>
      </c>
    </row>
    <row r="22" spans="1:9">
      <c r="A22" s="6">
        <v>2254510234</v>
      </c>
      <c r="B22" s="6" t="s">
        <v>30</v>
      </c>
      <c r="C22" s="6" t="s">
        <v>10</v>
      </c>
      <c r="D22" s="7">
        <f t="shared" si="0"/>
        <v>77.182</v>
      </c>
      <c r="E22" s="8">
        <v>21</v>
      </c>
      <c r="F22" s="9">
        <v>77.74</v>
      </c>
      <c r="G22" s="8">
        <f t="shared" si="1"/>
        <v>21</v>
      </c>
      <c r="H22" s="10">
        <v>74.95</v>
      </c>
      <c r="I22" s="8">
        <v>25</v>
      </c>
    </row>
    <row r="23" spans="1:9">
      <c r="A23" s="6">
        <v>2253320179</v>
      </c>
      <c r="B23" s="6" t="s">
        <v>31</v>
      </c>
      <c r="C23" s="6" t="s">
        <v>10</v>
      </c>
      <c r="D23" s="7">
        <f t="shared" si="0"/>
        <v>76.996</v>
      </c>
      <c r="E23" s="8">
        <v>22</v>
      </c>
      <c r="F23" s="9">
        <v>76.12</v>
      </c>
      <c r="G23" s="8">
        <f t="shared" si="1"/>
        <v>23</v>
      </c>
      <c r="H23" s="10">
        <v>80.5</v>
      </c>
      <c r="I23" s="8">
        <v>25</v>
      </c>
    </row>
    <row r="24" spans="1:9">
      <c r="A24" s="6">
        <v>2256310140</v>
      </c>
      <c r="B24" s="6" t="s">
        <v>32</v>
      </c>
      <c r="C24" s="6" t="s">
        <v>10</v>
      </c>
      <c r="D24" s="7">
        <f t="shared" si="0"/>
        <v>76.776</v>
      </c>
      <c r="E24" s="8">
        <v>23</v>
      </c>
      <c r="F24" s="9">
        <v>77.55</v>
      </c>
      <c r="G24" s="8">
        <f t="shared" si="1"/>
        <v>22</v>
      </c>
      <c r="H24" s="10">
        <v>73.68</v>
      </c>
      <c r="I24" s="8">
        <v>25</v>
      </c>
    </row>
    <row r="25" spans="1:9">
      <c r="A25" s="6">
        <v>2254410110</v>
      </c>
      <c r="B25" s="6" t="s">
        <v>33</v>
      </c>
      <c r="C25" s="6" t="s">
        <v>10</v>
      </c>
      <c r="D25" s="7">
        <f t="shared" si="0"/>
        <v>74.5</v>
      </c>
      <c r="E25" s="8">
        <v>24</v>
      </c>
      <c r="F25" s="9">
        <v>75.25</v>
      </c>
      <c r="G25" s="8">
        <f t="shared" si="1"/>
        <v>24</v>
      </c>
      <c r="H25" s="10">
        <v>71.5</v>
      </c>
      <c r="I25" s="8">
        <v>25</v>
      </c>
    </row>
    <row r="26" spans="1:9">
      <c r="A26" s="6">
        <v>2254210308</v>
      </c>
      <c r="B26" s="6" t="s">
        <v>34</v>
      </c>
      <c r="C26" s="6" t="s">
        <v>10</v>
      </c>
      <c r="D26" s="7">
        <f t="shared" si="0"/>
        <v>74.44</v>
      </c>
      <c r="E26" s="8">
        <v>25</v>
      </c>
      <c r="F26" s="9">
        <v>74.3</v>
      </c>
      <c r="G26" s="8">
        <v>25</v>
      </c>
      <c r="H26" s="10">
        <v>75</v>
      </c>
      <c r="I26" s="8">
        <v>25</v>
      </c>
    </row>
  </sheetData>
  <sortState ref="F3:G26">
    <sortCondition ref="G2:G26" descending="1"/>
  </sortState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4.1"/>
  <cols>
    <col min="1" max="1" width="20" customWidth="1"/>
  </cols>
  <sheetData>
    <row r="1" ht="14.55" spans="1:1">
      <c r="A1" s="1" t="s">
        <v>2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  <row r="8" spans="1:1">
      <c r="A8" t="s">
        <v>41</v>
      </c>
    </row>
    <row r="9" spans="1:1">
      <c r="A9" t="s">
        <v>42</v>
      </c>
    </row>
    <row r="10" spans="1:1">
      <c r="A10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能动的木头人</cp:lastModifiedBy>
  <dcterms:created xsi:type="dcterms:W3CDTF">2026-10-08T02:48:00Z</dcterms:created>
  <dcterms:modified xsi:type="dcterms:W3CDTF">2026-10-08T04:42:26Z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AA0F1FEFC25B470D8BA2A6482EE93E3F_13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